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y Cities" sheetId="1" state="visible" r:id="rId3"/>
    <sheet name="Sightseeing" sheetId="2" state="visible" r:id="rId4"/>
    <sheet name="Drive Distan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<sst xmlns="http://schemas.openxmlformats.org/spreadsheetml/2006/main" count="480" uniqueCount="178">
  <si>
    <t xml:space="preserve">City</t>
  </si>
  <si>
    <t xml:space="preserve">Why stay here</t>
  </si>
  <si>
    <t xml:space="preserve">Best for</t>
  </si>
  <si>
    <t xml:space="preserve">Nearest airport</t>
  </si>
  <si>
    <t xml:space="preserve">Zurich</t>
  </si>
  <si>
    <t xml:space="preserve">Largest city and main arrival point; easy car pickup at the airport; lakefront old town; good base for Rhine Falls and Lucerne.</t>
  </si>
  <si>
    <t xml:space="preserve">First/last night, city walks, chocolate, shopping</t>
  </si>
  <si>
    <t xml:space="preserve">Zurich (ZRH)</t>
  </si>
  <si>
    <t xml:space="preserve">Lucerne</t>
  </si>
  <si>
    <t xml:space="preserve">Postcard lake-and-mountain town with Chapel Bridge; boats leave from the town centre; Pilatus, Rigi and Stanserhorn are all close.</t>
  </si>
  <si>
    <t xml:space="preserve">Lakes, easy mountain day trips, families</t>
  </si>
  <si>
    <t xml:space="preserve">Engelberg</t>
  </si>
  <si>
    <t xml:space="preserve">Quiet alpine village at the foot of Mount Titlis; glacier and snow at 3,000 m reached in one cable car ride.</t>
  </si>
  <si>
    <t xml:space="preserve">Snow mountains, glacier, cable cars</t>
  </si>
  <si>
    <t xml:space="preserve">Interlaken</t>
  </si>
  <si>
    <t xml:space="preserve">Between Lake Thun and Lake Brienz; hub for Jungfrau region, Lauterbrunnen valley, Schilthorn and Harder Kulm.</t>
  </si>
  <si>
    <t xml:space="preserve">Lakes, waterfalls, mountain base</t>
  </si>
  <si>
    <t xml:space="preserve">Grindelwald</t>
  </si>
  <si>
    <t xml:space="preserve">Village directly below the Eiger; closest base for Jungfraujoch (Top of Europe) and First; strong snow-mountain views.</t>
  </si>
  <si>
    <t xml:space="preserve">Snow mountains, Jungfraujoch, hiking</t>
  </si>
  <si>
    <t xml:space="preserve">Zermatt</t>
  </si>
  <si>
    <t xml:space="preserve">Car-free village under the Matterhorn (park the car at Tasch and take the shuttle train); Gornergrat and Glacier Paradise for snow views.</t>
  </si>
  <si>
    <t xml:space="preserve">Matterhorn, snow, glacier views</t>
  </si>
  <si>
    <t xml:space="preserve">Geneva (GVA)</t>
  </si>
  <si>
    <t xml:space="preserve">Montreux</t>
  </si>
  <si>
    <t xml:space="preserve">Lake Geneva promenade with palm trees and mountain backdrop; Chillon Castle and Lavaux vineyards nearby.</t>
  </si>
  <si>
    <t xml:space="preserve">Lakes, castle, relaxed walks, families</t>
  </si>
  <si>
    <t xml:space="preserve">Lausanne</t>
  </si>
  <si>
    <t xml:space="preserve">Lake Geneva city with Olympic Museum and cathedral; central for Lavaux, Vevey and Glacier 3000.</t>
  </si>
  <si>
    <t xml:space="preserve">Lakes, culture, central base</t>
  </si>
  <si>
    <t xml:space="preserve">Geneva</t>
  </si>
  <si>
    <t xml:space="preserve">Lakefront city with the Jet d'Eau and old town; return flight city; good last night before the airport.</t>
  </si>
  <si>
    <t xml:space="preserve">Last night, lake views, airport access</t>
  </si>
  <si>
    <t xml:space="preserve">Place</t>
  </si>
  <si>
    <t xml:space="preserve">Near which stay city</t>
  </si>
  <si>
    <t xml:space="preserve">Type (lake / mountain / town / snow)</t>
  </si>
  <si>
    <t xml:space="preserve">Time needed</t>
  </si>
  <si>
    <t xml:space="preserve">Ticket price (INR)</t>
  </si>
  <si>
    <t xml:space="preserve">Child ticket price (INR)</t>
  </si>
  <si>
    <t xml:space="preserve">Adult ticket (CHF)</t>
  </si>
  <si>
    <t xml:space="preserve">Child ticket (CHF)</t>
  </si>
  <si>
    <t xml:space="preserve">Price status</t>
  </si>
  <si>
    <t xml:space="preserve">Source / notes</t>
  </si>
  <si>
    <t xml:space="preserve">Input</t>
  </si>
  <si>
    <t xml:space="preserve">Value</t>
  </si>
  <si>
    <t xml:space="preserve">Source / note</t>
  </si>
  <si>
    <t xml:space="preserve">Jungfraujoch - Top of Europe</t>
  </si>
  <si>
    <t xml:space="preserve">snow</t>
  </si>
  <si>
    <t xml:space="preserve">Full day (7-8 hrs)</t>
  </si>
  <si>
    <t xml:space="preserve">Sourced</t>
  </si>
  <si>
    <t xml:space="preserve">Return from Grindelwald/Wengen, May-Oct 2026 full fare (myswissalps.com). Child 6-15 assumed half; reconfirm for 2027.</t>
  </si>
  <si>
    <t xml:space="preserve">CHF to INR rate (reference only)</t>
  </si>
  <si>
    <t xml:space="preserve">Mid-market about 118.9 INR per CHF in mid-2026 (pluang.com, upstox.com). Chatbot must fetch the live rate when quoting; this cell only drives the INR columns.</t>
  </si>
  <si>
    <t xml:space="preserve">Schilthorn - Piz Gloria</t>
  </si>
  <si>
    <t xml:space="preserve">4-5 hrs</t>
  </si>
  <si>
    <t xml:space="preserve">Return Stechelberg-Schilthorn full fare 2026 (myswissalps.com). Murren start is CHF 91.40. Child assumed half.</t>
  </si>
  <si>
    <t xml:space="preserve">Swiss motorway vignette (CHF)</t>
  </si>
  <si>
    <t xml:space="preserve">Official price CHF 40, valid 14 months (bazg.admin.ch).</t>
  </si>
  <si>
    <t xml:space="preserve">Mount Titlis (Cliff Walk, Glacier Cave)</t>
  </si>
  <si>
    <t xml:space="preserve">Return Engelberg-Titlis, titlis.ch prices page. Child assumed half (6-15).</t>
  </si>
  <si>
    <t xml:space="preserve">Parking per night (CHF)</t>
  </si>
  <si>
    <t xml:space="preserve">ESTIMATE - hotel parking typically CHF 15-35 per night; verify.</t>
  </si>
  <si>
    <t xml:space="preserve">Gornergrat (Matterhorn views)</t>
  </si>
  <si>
    <t xml:space="preserve">3-4 hrs</t>
  </si>
  <si>
    <t xml:space="preserve">Return Zermatt-Gornergrat, May-Oct 2026 (myswissalps.com). Children under 6 free; 9-15 pay 50%.</t>
  </si>
  <si>
    <t xml:space="preserve">Romford service charge per adult (INR)</t>
  </si>
  <si>
    <t xml:space="preserve">From the assignment brief. Children under 11 free.</t>
  </si>
  <si>
    <t xml:space="preserve">Matterhorn Glacier Paradise</t>
  </si>
  <si>
    <t xml:space="preserve">4 hrs</t>
  </si>
  <si>
    <t xml:space="preserve">Estimate - verify</t>
  </si>
  <si>
    <t xml:space="preserve">Zermatt Tourism listing shows from CHF 95-109 depending on page and date; confirm full fare.</t>
  </si>
  <si>
    <t xml:space="preserve">Car rental per day / flights / hotels</t>
  </si>
  <si>
    <t xml:space="preserve">LIVE</t>
  </si>
  <si>
    <t xml:space="preserve">Never hard-coded; fetched at quote time.</t>
  </si>
  <si>
    <t xml:space="preserve">Glacier 3000 and Peak Walk</t>
  </si>
  <si>
    <t xml:space="preserve">5-6 hrs incl. drive</t>
  </si>
  <si>
    <t xml:space="preserve">Adult CHF 89 standard, child CHF 45 (cagi.ch listing).</t>
  </si>
  <si>
    <t xml:space="preserve">Mount Pilatus (Golden Round Trip)</t>
  </si>
  <si>
    <t xml:space="preserve">mountain</t>
  </si>
  <si>
    <t xml:space="preserve">5-6 hrs</t>
  </si>
  <si>
    <t xml:space="preserve">Cogwheel + cable car return from Alpnachstad; approximate, confirm on pilatus.ch.</t>
  </si>
  <si>
    <t xml:space="preserve">Price status: 'Sourced' = taken from an operator or reputable page in Oct 2026 (2026 season). 'Estimate - verify' (yellow) = approximate, not confirmed.</t>
  </si>
  <si>
    <t xml:space="preserve">Mount Rigi</t>
  </si>
  <si>
    <t xml:space="preserve">Arth-Goldau or Vitznau to Rigi Kulm return, full fare (findingalexx.com).</t>
  </si>
  <si>
    <t xml:space="preserve">May 2027 fares may differ from 2026 prices; reconfirm before real quotes.</t>
  </si>
  <si>
    <t xml:space="preserve">Stanserhorn CabriO</t>
  </si>
  <si>
    <t xml:space="preserve">Open-top cable car; approximate, confirm on stanserhorn.ch.</t>
  </si>
  <si>
    <t xml:space="preserve">Sightseeing INR = CHF x rate in M2 (formula). Blue = typed inputs, black = formulas.</t>
  </si>
  <si>
    <t xml:space="preserve">Grindelwald First and Cliff Walk</t>
  </si>
  <si>
    <t xml:space="preserve">Cable car return full fare quoted CHF 60 in a 2025 forum thread; confirm current fare.</t>
  </si>
  <si>
    <t xml:space="preserve">Drive distances in the Drive Distances sheet are approximate road figures, not pulled from Google Maps; verify them.</t>
  </si>
  <si>
    <t xml:space="preserve">Harder Kulm viewpoint</t>
  </si>
  <si>
    <t xml:space="preserve">2 hrs</t>
  </si>
  <si>
    <t xml:space="preserve">Sources range CHF 32-51 for the funicular return; midpoint used.</t>
  </si>
  <si>
    <t xml:space="preserve">Trummelbach Falls</t>
  </si>
  <si>
    <t xml:space="preserve">1.5-2 hrs</t>
  </si>
  <si>
    <t xml:space="preserve">Waterfalls inside the mountain at Lauterbrunnen; approximate.</t>
  </si>
  <si>
    <t xml:space="preserve">Lauterbrunnen Valley and Staubbach Falls</t>
  </si>
  <si>
    <t xml:space="preserve">town</t>
  </si>
  <si>
    <t xml:space="preserve">Free to visit; parking costs apply (see parking assumption in column M).</t>
  </si>
  <si>
    <t xml:space="preserve">Interlaken Hoheweg and Lake Thun promenade</t>
  </si>
  <si>
    <t xml:space="preserve">lake</t>
  </si>
  <si>
    <t xml:space="preserve">1.5 hrs</t>
  </si>
  <si>
    <t xml:space="preserve">Free walk.</t>
  </si>
  <si>
    <t xml:space="preserve">Lake Brienz and Iseltwald village</t>
  </si>
  <si>
    <t xml:space="preserve">Free scenic stop; boat rides cost extra and are not included.</t>
  </si>
  <si>
    <t xml:space="preserve">Chapel Bridge and Old Town Lucerne</t>
  </si>
  <si>
    <t xml:space="preserve">Free.</t>
  </si>
  <si>
    <t xml:space="preserve">Lion Monument Lucerne</t>
  </si>
  <si>
    <t xml:space="preserve">45 min</t>
  </si>
  <si>
    <t xml:space="preserve">Lake Lucerne cruise (1 hr)</t>
  </si>
  <si>
    <t xml:space="preserve">1-2 hrs</t>
  </si>
  <si>
    <t xml:space="preserve">Short SGV boat cruise; approximate, confirm on lakelucerne.ch.</t>
  </si>
  <si>
    <t xml:space="preserve">Swiss Museum of Transport</t>
  </si>
  <si>
    <t xml:space="preserve">3 hrs</t>
  </si>
  <si>
    <t xml:space="preserve">Approximate adult/child; confirm on verkehrshaus.ch.</t>
  </si>
  <si>
    <t xml:space="preserve">Chillon Castle</t>
  </si>
  <si>
    <t xml:space="preserve">Adult CHF 15, child 6-15 CHF 7 (myswissalps.com, earthtrekkers.com).</t>
  </si>
  <si>
    <t xml:space="preserve">Montreux Lakeside Promenade</t>
  </si>
  <si>
    <t xml:space="preserve">Free walk with Freddie Mercury statue.</t>
  </si>
  <si>
    <t xml:space="preserve">Lake Geneva Riviera cruise</t>
  </si>
  <si>
    <t xml:space="preserve">From CHF 38 per myswitzerland.com; child assumed half.</t>
  </si>
  <si>
    <t xml:space="preserve">Lavaux Vineyard Terraces and Vevey</t>
  </si>
  <si>
    <t xml:space="preserve">Free to walk; tasting and train are extra and not included.</t>
  </si>
  <si>
    <t xml:space="preserve">Olympic Museum Lausanne</t>
  </si>
  <si>
    <t xml:space="preserve">Approximate; confirm on olympic.org.</t>
  </si>
  <si>
    <t xml:space="preserve">Jet d'Eau and Geneva lakefront</t>
  </si>
  <si>
    <t xml:space="preserve">Geneva Old Town and St Pierre Cathedral</t>
  </si>
  <si>
    <t xml:space="preserve">Free; cathedral tower is extra and not included.</t>
  </si>
  <si>
    <t xml:space="preserve">Zermatt village and Matterhorn viewpoint</t>
  </si>
  <si>
    <t xml:space="preserve">Free; Tasch parking and shuttle train costs apply (see parking assumption in column M).</t>
  </si>
  <si>
    <t xml:space="preserve">Zurich old town and Lake Zurich promenade</t>
  </si>
  <si>
    <t xml:space="preserve">2-3 hrs</t>
  </si>
  <si>
    <t xml:space="preserve">Rhine Falls (boat to the rock)</t>
  </si>
  <si>
    <t xml:space="preserve">Viewing free; optional boat CHF 12 adult / CHF 8 child (easyJet experiences listing).</t>
  </si>
  <si>
    <t xml:space="preserve">Lindt Home of Chocolate</t>
  </si>
  <si>
    <t xml:space="preserve">Approximate; child rate unconfirmed, check lindt-home-of-chocolate.com.</t>
  </si>
  <si>
    <t xml:space="preserve">Swiss National Museum Zurich</t>
  </si>
  <si>
    <t xml:space="preserve">Approximate; confirm on landesmuseum.ch.</t>
  </si>
  <si>
    <t xml:space="preserve">From</t>
  </si>
  <si>
    <t xml:space="preserve">To</t>
  </si>
  <si>
    <t xml:space="preserve">Km</t>
  </si>
  <si>
    <t xml:space="preserve">Drive time</t>
  </si>
  <si>
    <t xml:space="preserve">Drive time (minutes)</t>
  </si>
  <si>
    <t xml:space="preserve">Notes</t>
  </si>
  <si>
    <t xml:space="preserve">Zurich Airport (ZRH)</t>
  </si>
  <si>
    <t xml:space="preserve">Geneva Airport (GVA)</t>
  </si>
  <si>
    <t xml:space="preserve">3 h 05 min</t>
  </si>
  <si>
    <t xml:space="preserve">Road distance, approximate, same both directions</t>
  </si>
  <si>
    <t xml:space="preserve">20 min</t>
  </si>
  <si>
    <t xml:space="preserve">55 min</t>
  </si>
  <si>
    <t xml:space="preserve">1 h 25 min</t>
  </si>
  <si>
    <t xml:space="preserve">2 h 05 min</t>
  </si>
  <si>
    <t xml:space="preserve">2 h 20 min</t>
  </si>
  <si>
    <t xml:space="preserve">Zermatt (park at Tasch)</t>
  </si>
  <si>
    <t xml:space="preserve">3 h 45 min</t>
  </si>
  <si>
    <t xml:space="preserve">Car-free Zermatt: drive to Tasch, park, take shuttle train (about 12 min). Approximate.</t>
  </si>
  <si>
    <t xml:space="preserve">2 h 45 min</t>
  </si>
  <si>
    <t xml:space="preserve">2 h 30 min</t>
  </si>
  <si>
    <t xml:space="preserve">3 h 00 min</t>
  </si>
  <si>
    <t xml:space="preserve">2 h 55 min</t>
  </si>
  <si>
    <t xml:space="preserve">3 h 15 min</t>
  </si>
  <si>
    <t xml:space="preserve">2 h 50 min</t>
  </si>
  <si>
    <t xml:space="preserve">1 h 10 min</t>
  </si>
  <si>
    <t xml:space="preserve">50 min</t>
  </si>
  <si>
    <t xml:space="preserve">15 min</t>
  </si>
  <si>
    <t xml:space="preserve">1 h 20 min</t>
  </si>
  <si>
    <t xml:space="preserve">2 h 00 min</t>
  </si>
  <si>
    <t xml:space="preserve">2 h 15 min</t>
  </si>
  <si>
    <t xml:space="preserve">3 h 40 min</t>
  </si>
  <si>
    <t xml:space="preserve">2 h 40 min</t>
  </si>
  <si>
    <t xml:space="preserve">2 h 25 min</t>
  </si>
  <si>
    <t xml:space="preserve">1 h 35 min</t>
  </si>
  <si>
    <t xml:space="preserve">3 h 30 min</t>
  </si>
  <si>
    <t xml:space="preserve">1 h 50 min</t>
  </si>
  <si>
    <t xml:space="preserve">30 min</t>
  </si>
  <si>
    <t xml:space="preserve">Car-free Zermatt: drive to Tasch, park, take shuttle train (about 12 min). Approximate. Uses Lotschberg car shuttle from Kandersteg.</t>
  </si>
  <si>
    <t xml:space="preserve">2 h 10 min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</si>
</sst>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0;\(0.00\);\-"/>
    <numFmt numFmtId="167" formatCode="#,##0.0"/>
    <numFmt numFmtId="168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38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7</v>
      </c>
    </row>
    <row r="4" customFormat="false" ht="23.8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7</v>
      </c>
    </row>
    <row r="5" customFormat="false" ht="23.8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7</v>
      </c>
    </row>
    <row r="6" customFormat="false" ht="23.85" hidden="false" customHeight="false" outlineLevel="0" collapsed="false">
      <c r="A6" s="2" t="s">
        <v>17</v>
      </c>
      <c r="B6" s="2" t="s">
        <v>18</v>
      </c>
      <c r="C6" s="2" t="s">
        <v>19</v>
      </c>
      <c r="D6" s="2" t="s">
        <v>7</v>
      </c>
    </row>
    <row r="7" customFormat="false" ht="23.85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23</v>
      </c>
    </row>
    <row r="8" customFormat="false" ht="23.85" hidden="false" customHeight="false" outlineLevel="0" collapsed="false">
      <c r="A8" s="2" t="s">
        <v>24</v>
      </c>
      <c r="B8" s="2" t="s">
        <v>25</v>
      </c>
      <c r="C8" s="2" t="s">
        <v>26</v>
      </c>
      <c r="D8" s="2" t="s">
        <v>23</v>
      </c>
    </row>
    <row r="9" customFormat="false" ht="23.85" hidden="false" customHeight="false" outlineLevel="0" collapsed="false">
      <c r="A9" s="2" t="s">
        <v>27</v>
      </c>
      <c r="B9" s="2" t="s">
        <v>28</v>
      </c>
      <c r="C9" s="2" t="s">
        <v>29</v>
      </c>
      <c r="D9" s="2" t="s">
        <v>23</v>
      </c>
    </row>
    <row r="10" customFormat="false" ht="23.85" hidden="false" customHeight="false" outlineLevel="0" collapsed="false">
      <c r="A10" s="2" t="s">
        <v>30</v>
      </c>
      <c r="B10" s="2" t="s">
        <v>31</v>
      </c>
      <c r="C10" s="2" t="s">
        <v>32</v>
      </c>
      <c r="D10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70"/>
    <col collapsed="false" customWidth="true" hidden="false" outlineLevel="0" max="11" min="11" style="0" width="3"/>
    <col collapsed="false" customWidth="true" hidden="false" outlineLevel="0" max="12" min="12" style="0" width="38"/>
    <col collapsed="false" customWidth="true" hidden="false" outlineLevel="0" max="13" min="13" style="0" width="12"/>
    <col collapsed="false" customWidth="true" hidden="false" outlineLevel="0" max="14" min="14" style="0" width="80"/>
  </cols>
  <sheetData>
    <row r="1" customFormat="false" ht="31.5" hidden="false" customHeight="tru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L1" s="3" t="s">
        <v>43</v>
      </c>
      <c r="M1" s="3" t="s">
        <v>44</v>
      </c>
      <c r="N1" s="4" t="s">
        <v>45</v>
      </c>
    </row>
    <row r="2" customFormat="false" ht="23.85" hidden="false" customHeight="false" outlineLevel="0" collapsed="false">
      <c r="A2" s="2" t="s">
        <v>46</v>
      </c>
      <c r="B2" s="2" t="s">
        <v>17</v>
      </c>
      <c r="C2" s="2" t="s">
        <v>47</v>
      </c>
      <c r="D2" s="2" t="s">
        <v>48</v>
      </c>
      <c r="E2" s="5" t="n">
        <f aca="false">ROUND(G2*$M$2,0)</f>
        <v>28441</v>
      </c>
      <c r="F2" s="5" t="n">
        <f aca="false">ROUND(H2*$M$2,0)</f>
        <v>14220</v>
      </c>
      <c r="G2" s="6" t="n">
        <v>239.2</v>
      </c>
      <c r="H2" s="6" t="n">
        <v>119.6</v>
      </c>
      <c r="I2" s="2" t="s">
        <v>49</v>
      </c>
      <c r="J2" s="2" t="s">
        <v>50</v>
      </c>
      <c r="K2" s="2"/>
      <c r="L2" s="7" t="s">
        <v>51</v>
      </c>
      <c r="M2" s="8" t="n">
        <v>118.9</v>
      </c>
      <c r="N2" s="2" t="s">
        <v>52</v>
      </c>
    </row>
    <row r="3" customFormat="false" ht="23.85" hidden="false" customHeight="false" outlineLevel="0" collapsed="false">
      <c r="A3" s="2" t="s">
        <v>53</v>
      </c>
      <c r="B3" s="2" t="s">
        <v>14</v>
      </c>
      <c r="C3" s="2" t="s">
        <v>47</v>
      </c>
      <c r="D3" s="2" t="s">
        <v>54</v>
      </c>
      <c r="E3" s="5" t="n">
        <f aca="false">ROUND(G3*$M$2,0)</f>
        <v>13674</v>
      </c>
      <c r="F3" s="5" t="n">
        <f aca="false">ROUND(H3*$M$2,0)</f>
        <v>6837</v>
      </c>
      <c r="G3" s="6" t="n">
        <v>115</v>
      </c>
      <c r="H3" s="6" t="n">
        <v>57.5</v>
      </c>
      <c r="I3" s="2" t="s">
        <v>49</v>
      </c>
      <c r="J3" s="2" t="s">
        <v>55</v>
      </c>
      <c r="K3" s="2"/>
      <c r="L3" s="7" t="s">
        <v>56</v>
      </c>
      <c r="M3" s="9" t="n">
        <v>40</v>
      </c>
      <c r="N3" s="2" t="s">
        <v>57</v>
      </c>
    </row>
    <row r="4" customFormat="false" ht="15" hidden="false" customHeight="false" outlineLevel="0" collapsed="false">
      <c r="A4" s="2" t="s">
        <v>58</v>
      </c>
      <c r="B4" s="2" t="s">
        <v>11</v>
      </c>
      <c r="C4" s="2" t="s">
        <v>47</v>
      </c>
      <c r="D4" s="2" t="s">
        <v>54</v>
      </c>
      <c r="E4" s="5" t="n">
        <f aca="false">ROUND(G4*$M$2,0)</f>
        <v>12128</v>
      </c>
      <c r="F4" s="5" t="n">
        <f aca="false">ROUND(H4*$M$2,0)</f>
        <v>6064</v>
      </c>
      <c r="G4" s="6" t="n">
        <v>102</v>
      </c>
      <c r="H4" s="6" t="n">
        <v>51</v>
      </c>
      <c r="I4" s="2" t="s">
        <v>49</v>
      </c>
      <c r="J4" s="2" t="s">
        <v>59</v>
      </c>
      <c r="K4" s="2"/>
      <c r="L4" s="7" t="s">
        <v>60</v>
      </c>
      <c r="M4" s="9" t="n">
        <v>25</v>
      </c>
      <c r="N4" s="2" t="s">
        <v>61</v>
      </c>
    </row>
    <row r="5" customFormat="false" ht="23.85" hidden="false" customHeight="false" outlineLevel="0" collapsed="false">
      <c r="A5" s="2" t="s">
        <v>62</v>
      </c>
      <c r="B5" s="2" t="s">
        <v>20</v>
      </c>
      <c r="C5" s="2" t="s">
        <v>47</v>
      </c>
      <c r="D5" s="2" t="s">
        <v>63</v>
      </c>
      <c r="E5" s="5" t="n">
        <f aca="false">ROUND(G5*$M$2,0)</f>
        <v>15695</v>
      </c>
      <c r="F5" s="5" t="n">
        <f aca="false">ROUND(H5*$M$2,0)</f>
        <v>7847</v>
      </c>
      <c r="G5" s="6" t="n">
        <v>132</v>
      </c>
      <c r="H5" s="6" t="n">
        <v>66</v>
      </c>
      <c r="I5" s="2" t="s">
        <v>49</v>
      </c>
      <c r="J5" s="2" t="s">
        <v>64</v>
      </c>
      <c r="K5" s="2"/>
      <c r="L5" s="7" t="s">
        <v>65</v>
      </c>
      <c r="M5" s="9" t="n">
        <v>20000</v>
      </c>
      <c r="N5" s="2" t="s">
        <v>66</v>
      </c>
    </row>
    <row r="6" customFormat="false" ht="23.85" hidden="false" customHeight="false" outlineLevel="0" collapsed="false">
      <c r="A6" s="2" t="s">
        <v>67</v>
      </c>
      <c r="B6" s="2" t="s">
        <v>20</v>
      </c>
      <c r="C6" s="2" t="s">
        <v>47</v>
      </c>
      <c r="D6" s="2" t="s">
        <v>68</v>
      </c>
      <c r="E6" s="5" t="n">
        <f aca="false">ROUND(G6*$M$2,0)</f>
        <v>12960</v>
      </c>
      <c r="F6" s="5" t="n">
        <f aca="false">ROUND(H6*$M$2,0)</f>
        <v>6480</v>
      </c>
      <c r="G6" s="6" t="n">
        <v>109</v>
      </c>
      <c r="H6" s="6" t="n">
        <v>54.5</v>
      </c>
      <c r="I6" s="10" t="s">
        <v>69</v>
      </c>
      <c r="J6" s="2" t="s">
        <v>70</v>
      </c>
      <c r="K6" s="2"/>
      <c r="L6" s="7" t="s">
        <v>71</v>
      </c>
      <c r="M6" s="7" t="s">
        <v>72</v>
      </c>
      <c r="N6" s="2" t="s">
        <v>73</v>
      </c>
    </row>
    <row r="7" customFormat="false" ht="15" hidden="false" customHeight="false" outlineLevel="0" collapsed="false">
      <c r="A7" s="2" t="s">
        <v>74</v>
      </c>
      <c r="B7" s="2" t="s">
        <v>24</v>
      </c>
      <c r="C7" s="2" t="s">
        <v>47</v>
      </c>
      <c r="D7" s="2" t="s">
        <v>75</v>
      </c>
      <c r="E7" s="5" t="n">
        <f aca="false">ROUND(G7*$M$2,0)</f>
        <v>10582</v>
      </c>
      <c r="F7" s="5" t="n">
        <f aca="false">ROUND(H7*$M$2,0)</f>
        <v>5351</v>
      </c>
      <c r="G7" s="6" t="n">
        <v>89</v>
      </c>
      <c r="H7" s="6" t="n">
        <v>45</v>
      </c>
      <c r="I7" s="2" t="s">
        <v>49</v>
      </c>
      <c r="J7" s="2" t="s">
        <v>76</v>
      </c>
      <c r="K7" s="2"/>
      <c r="L7" s="7"/>
      <c r="M7" s="7"/>
      <c r="N7" s="2"/>
    </row>
    <row r="8" customFormat="false" ht="15" hidden="false" customHeight="false" outlineLevel="0" collapsed="false">
      <c r="A8" s="2" t="s">
        <v>77</v>
      </c>
      <c r="B8" s="2" t="s">
        <v>8</v>
      </c>
      <c r="C8" s="2" t="s">
        <v>78</v>
      </c>
      <c r="D8" s="2" t="s">
        <v>79</v>
      </c>
      <c r="E8" s="5" t="n">
        <f aca="false">ROUND(G8*$M$2,0)</f>
        <v>9274</v>
      </c>
      <c r="F8" s="5" t="n">
        <f aca="false">ROUND(H8*$M$2,0)</f>
        <v>4637</v>
      </c>
      <c r="G8" s="6" t="n">
        <v>78</v>
      </c>
      <c r="H8" s="6" t="n">
        <v>39</v>
      </c>
      <c r="I8" s="10" t="s">
        <v>69</v>
      </c>
      <c r="J8" s="2" t="s">
        <v>80</v>
      </c>
      <c r="K8" s="2"/>
      <c r="L8" s="7" t="s">
        <v>81</v>
      </c>
      <c r="M8" s="7"/>
      <c r="N8" s="2"/>
    </row>
    <row r="9" customFormat="false" ht="15" hidden="false" customHeight="false" outlineLevel="0" collapsed="false">
      <c r="A9" s="2" t="s">
        <v>82</v>
      </c>
      <c r="B9" s="2" t="s">
        <v>8</v>
      </c>
      <c r="C9" s="2" t="s">
        <v>78</v>
      </c>
      <c r="D9" s="2" t="s">
        <v>54</v>
      </c>
      <c r="E9" s="5" t="n">
        <f aca="false">ROUND(G9*$M$2,0)</f>
        <v>9274</v>
      </c>
      <c r="F9" s="5" t="n">
        <f aca="false">ROUND(H9*$M$2,0)</f>
        <v>4637</v>
      </c>
      <c r="G9" s="6" t="n">
        <v>78</v>
      </c>
      <c r="H9" s="6" t="n">
        <v>39</v>
      </c>
      <c r="I9" s="2" t="s">
        <v>49</v>
      </c>
      <c r="J9" s="2" t="s">
        <v>83</v>
      </c>
      <c r="K9" s="2"/>
      <c r="L9" s="7" t="s">
        <v>84</v>
      </c>
      <c r="M9" s="7"/>
      <c r="N9" s="2"/>
    </row>
    <row r="10" customFormat="false" ht="15" hidden="false" customHeight="false" outlineLevel="0" collapsed="false">
      <c r="A10" s="2" t="s">
        <v>85</v>
      </c>
      <c r="B10" s="2" t="s">
        <v>8</v>
      </c>
      <c r="C10" s="2" t="s">
        <v>78</v>
      </c>
      <c r="D10" s="2" t="s">
        <v>63</v>
      </c>
      <c r="E10" s="5" t="n">
        <f aca="false">ROUND(G10*$M$2,0)</f>
        <v>10463</v>
      </c>
      <c r="F10" s="5" t="n">
        <f aca="false">ROUND(H10*$M$2,0)</f>
        <v>5232</v>
      </c>
      <c r="G10" s="6" t="n">
        <v>88</v>
      </c>
      <c r="H10" s="6" t="n">
        <v>44</v>
      </c>
      <c r="I10" s="10" t="s">
        <v>69</v>
      </c>
      <c r="J10" s="2" t="s">
        <v>86</v>
      </c>
      <c r="K10" s="2"/>
      <c r="L10" s="7" t="s">
        <v>87</v>
      </c>
      <c r="M10" s="7"/>
      <c r="N10" s="2"/>
    </row>
    <row r="11" customFormat="false" ht="15" hidden="false" customHeight="false" outlineLevel="0" collapsed="false">
      <c r="A11" s="2" t="s">
        <v>88</v>
      </c>
      <c r="B11" s="2" t="s">
        <v>17</v>
      </c>
      <c r="C11" s="2" t="s">
        <v>78</v>
      </c>
      <c r="D11" s="2" t="s">
        <v>63</v>
      </c>
      <c r="E11" s="5" t="n">
        <f aca="false">ROUND(G11*$M$2,0)</f>
        <v>7134</v>
      </c>
      <c r="F11" s="5" t="n">
        <f aca="false">ROUND(H11*$M$2,0)</f>
        <v>3567</v>
      </c>
      <c r="G11" s="6" t="n">
        <v>60</v>
      </c>
      <c r="H11" s="6" t="n">
        <v>30</v>
      </c>
      <c r="I11" s="10" t="s">
        <v>69</v>
      </c>
      <c r="J11" s="2" t="s">
        <v>89</v>
      </c>
      <c r="K11" s="2"/>
      <c r="L11" s="7" t="s">
        <v>90</v>
      </c>
      <c r="M11" s="7"/>
      <c r="N11" s="2"/>
    </row>
    <row r="12" customFormat="false" ht="15" hidden="false" customHeight="false" outlineLevel="0" collapsed="false">
      <c r="A12" s="2" t="s">
        <v>91</v>
      </c>
      <c r="B12" s="2" t="s">
        <v>14</v>
      </c>
      <c r="C12" s="2" t="s">
        <v>78</v>
      </c>
      <c r="D12" s="2" t="s">
        <v>92</v>
      </c>
      <c r="E12" s="5" t="n">
        <f aca="false">ROUND(G12*$M$2,0)</f>
        <v>4756</v>
      </c>
      <c r="F12" s="5" t="n">
        <f aca="false">ROUND(H12*$M$2,0)</f>
        <v>2378</v>
      </c>
      <c r="G12" s="6" t="n">
        <v>40</v>
      </c>
      <c r="H12" s="6" t="n">
        <v>20</v>
      </c>
      <c r="I12" s="10" t="s">
        <v>69</v>
      </c>
      <c r="J12" s="2" t="s">
        <v>93</v>
      </c>
      <c r="K12" s="2"/>
      <c r="L12" s="2"/>
      <c r="M12" s="2"/>
      <c r="N12" s="2"/>
    </row>
    <row r="13" customFormat="false" ht="15" hidden="false" customHeight="false" outlineLevel="0" collapsed="false">
      <c r="A13" s="2" t="s">
        <v>94</v>
      </c>
      <c r="B13" s="2" t="s">
        <v>14</v>
      </c>
      <c r="C13" s="2" t="s">
        <v>78</v>
      </c>
      <c r="D13" s="2" t="s">
        <v>95</v>
      </c>
      <c r="E13" s="5" t="n">
        <f aca="false">ROUND(G13*$M$2,0)</f>
        <v>1665</v>
      </c>
      <c r="F13" s="5" t="n">
        <f aca="false">ROUND(H13*$M$2,0)</f>
        <v>713</v>
      </c>
      <c r="G13" s="6" t="n">
        <v>14</v>
      </c>
      <c r="H13" s="6" t="n">
        <v>6</v>
      </c>
      <c r="I13" s="10" t="s">
        <v>69</v>
      </c>
      <c r="J13" s="2" t="s">
        <v>96</v>
      </c>
      <c r="K13" s="2"/>
      <c r="L13" s="2"/>
      <c r="M13" s="2"/>
      <c r="N13" s="2"/>
    </row>
    <row r="14" customFormat="false" ht="15" hidden="false" customHeight="false" outlineLevel="0" collapsed="false">
      <c r="A14" s="2" t="s">
        <v>97</v>
      </c>
      <c r="B14" s="2" t="s">
        <v>14</v>
      </c>
      <c r="C14" s="2" t="s">
        <v>98</v>
      </c>
      <c r="D14" s="2" t="s">
        <v>92</v>
      </c>
      <c r="E14" s="5" t="n">
        <f aca="false">ROUND(G14*$M$2,0)</f>
        <v>0</v>
      </c>
      <c r="F14" s="5" t="n">
        <f aca="false">ROUND(H14*$M$2,0)</f>
        <v>0</v>
      </c>
      <c r="G14" s="6" t="n">
        <v>0</v>
      </c>
      <c r="H14" s="6" t="n">
        <v>0</v>
      </c>
      <c r="I14" s="2" t="s">
        <v>49</v>
      </c>
      <c r="J14" s="2" t="s">
        <v>99</v>
      </c>
      <c r="K14" s="2"/>
      <c r="L14" s="2"/>
      <c r="M14" s="2"/>
      <c r="N14" s="2"/>
    </row>
    <row r="15" customFormat="false" ht="15" hidden="false" customHeight="false" outlineLevel="0" collapsed="false">
      <c r="A15" s="2" t="s">
        <v>100</v>
      </c>
      <c r="B15" s="2" t="s">
        <v>14</v>
      </c>
      <c r="C15" s="2" t="s">
        <v>101</v>
      </c>
      <c r="D15" s="2" t="s">
        <v>102</v>
      </c>
      <c r="E15" s="5" t="n">
        <f aca="false">ROUND(G15*$M$2,0)</f>
        <v>0</v>
      </c>
      <c r="F15" s="5" t="n">
        <f aca="false">ROUND(H15*$M$2,0)</f>
        <v>0</v>
      </c>
      <c r="G15" s="6" t="n">
        <v>0</v>
      </c>
      <c r="H15" s="6" t="n">
        <v>0</v>
      </c>
      <c r="I15" s="2" t="s">
        <v>49</v>
      </c>
      <c r="J15" s="2" t="s">
        <v>103</v>
      </c>
      <c r="K15" s="2"/>
      <c r="L15" s="2"/>
      <c r="M15" s="2"/>
      <c r="N15" s="2"/>
    </row>
    <row r="16" customFormat="false" ht="15" hidden="false" customHeight="false" outlineLevel="0" collapsed="false">
      <c r="A16" s="2" t="s">
        <v>104</v>
      </c>
      <c r="B16" s="2" t="s">
        <v>14</v>
      </c>
      <c r="C16" s="2" t="s">
        <v>101</v>
      </c>
      <c r="D16" s="2" t="s">
        <v>92</v>
      </c>
      <c r="E16" s="5" t="n">
        <f aca="false">ROUND(G16*$M$2,0)</f>
        <v>0</v>
      </c>
      <c r="F16" s="5" t="n">
        <f aca="false">ROUND(H16*$M$2,0)</f>
        <v>0</v>
      </c>
      <c r="G16" s="6" t="n">
        <v>0</v>
      </c>
      <c r="H16" s="6" t="n">
        <v>0</v>
      </c>
      <c r="I16" s="2" t="s">
        <v>49</v>
      </c>
      <c r="J16" s="2" t="s">
        <v>105</v>
      </c>
      <c r="K16" s="2"/>
      <c r="L16" s="2"/>
      <c r="M16" s="2"/>
      <c r="N16" s="2"/>
    </row>
    <row r="17" customFormat="false" ht="15" hidden="false" customHeight="false" outlineLevel="0" collapsed="false">
      <c r="A17" s="2" t="s">
        <v>106</v>
      </c>
      <c r="B17" s="2" t="s">
        <v>8</v>
      </c>
      <c r="C17" s="2" t="s">
        <v>98</v>
      </c>
      <c r="D17" s="2" t="s">
        <v>102</v>
      </c>
      <c r="E17" s="5" t="n">
        <f aca="false">ROUND(G17*$M$2,0)</f>
        <v>0</v>
      </c>
      <c r="F17" s="5" t="n">
        <f aca="false">ROUND(H17*$M$2,0)</f>
        <v>0</v>
      </c>
      <c r="G17" s="6" t="n">
        <v>0</v>
      </c>
      <c r="H17" s="6" t="n">
        <v>0</v>
      </c>
      <c r="I17" s="2" t="s">
        <v>49</v>
      </c>
      <c r="J17" s="2" t="s">
        <v>107</v>
      </c>
      <c r="K17" s="2"/>
      <c r="L17" s="2"/>
      <c r="M17" s="2"/>
      <c r="N17" s="2"/>
    </row>
    <row r="18" customFormat="false" ht="15" hidden="false" customHeight="false" outlineLevel="0" collapsed="false">
      <c r="A18" s="2" t="s">
        <v>108</v>
      </c>
      <c r="B18" s="2" t="s">
        <v>8</v>
      </c>
      <c r="C18" s="2" t="s">
        <v>98</v>
      </c>
      <c r="D18" s="2" t="s">
        <v>109</v>
      </c>
      <c r="E18" s="5" t="n">
        <f aca="false">ROUND(G18*$M$2,0)</f>
        <v>0</v>
      </c>
      <c r="F18" s="5" t="n">
        <f aca="false">ROUND(H18*$M$2,0)</f>
        <v>0</v>
      </c>
      <c r="G18" s="6" t="n">
        <v>0</v>
      </c>
      <c r="H18" s="6" t="n">
        <v>0</v>
      </c>
      <c r="I18" s="2" t="s">
        <v>49</v>
      </c>
      <c r="J18" s="2" t="s">
        <v>107</v>
      </c>
      <c r="K18" s="2"/>
      <c r="L18" s="2"/>
      <c r="M18" s="2"/>
      <c r="N18" s="2"/>
    </row>
    <row r="19" customFormat="false" ht="15" hidden="false" customHeight="false" outlineLevel="0" collapsed="false">
      <c r="A19" s="2" t="s">
        <v>110</v>
      </c>
      <c r="B19" s="2" t="s">
        <v>8</v>
      </c>
      <c r="C19" s="2" t="s">
        <v>101</v>
      </c>
      <c r="D19" s="2" t="s">
        <v>111</v>
      </c>
      <c r="E19" s="5" t="n">
        <f aca="false">ROUND(G19*$M$2,0)</f>
        <v>4280</v>
      </c>
      <c r="F19" s="5" t="n">
        <f aca="false">ROUND(H19*$M$2,0)</f>
        <v>2140</v>
      </c>
      <c r="G19" s="6" t="n">
        <v>36</v>
      </c>
      <c r="H19" s="6" t="n">
        <v>18</v>
      </c>
      <c r="I19" s="10" t="s">
        <v>69</v>
      </c>
      <c r="J19" s="2" t="s">
        <v>112</v>
      </c>
      <c r="K19" s="2"/>
      <c r="L19" s="2"/>
      <c r="M19" s="2"/>
      <c r="N19" s="2"/>
    </row>
    <row r="20" customFormat="false" ht="15" hidden="false" customHeight="false" outlineLevel="0" collapsed="false">
      <c r="A20" s="2" t="s">
        <v>113</v>
      </c>
      <c r="B20" s="2" t="s">
        <v>8</v>
      </c>
      <c r="C20" s="2" t="s">
        <v>98</v>
      </c>
      <c r="D20" s="2" t="s">
        <v>114</v>
      </c>
      <c r="E20" s="5" t="n">
        <f aca="false">ROUND(G20*$M$2,0)</f>
        <v>4518</v>
      </c>
      <c r="F20" s="5" t="n">
        <f aca="false">ROUND(H20*$M$2,0)</f>
        <v>2021</v>
      </c>
      <c r="G20" s="6" t="n">
        <v>38</v>
      </c>
      <c r="H20" s="6" t="n">
        <v>17</v>
      </c>
      <c r="I20" s="10" t="s">
        <v>69</v>
      </c>
      <c r="J20" s="2" t="s">
        <v>115</v>
      </c>
      <c r="K20" s="2"/>
      <c r="L20" s="2"/>
      <c r="M20" s="2"/>
      <c r="N20" s="2"/>
    </row>
    <row r="21" customFormat="false" ht="15" hidden="false" customHeight="false" outlineLevel="0" collapsed="false">
      <c r="A21" s="2" t="s">
        <v>116</v>
      </c>
      <c r="B21" s="2" t="s">
        <v>24</v>
      </c>
      <c r="C21" s="2" t="s">
        <v>98</v>
      </c>
      <c r="D21" s="2" t="s">
        <v>92</v>
      </c>
      <c r="E21" s="5" t="n">
        <f aca="false">ROUND(G21*$M$2,0)</f>
        <v>1784</v>
      </c>
      <c r="F21" s="5" t="n">
        <f aca="false">ROUND(H21*$M$2,0)</f>
        <v>832</v>
      </c>
      <c r="G21" s="6" t="n">
        <v>15</v>
      </c>
      <c r="H21" s="6" t="n">
        <v>7</v>
      </c>
      <c r="I21" s="2" t="s">
        <v>49</v>
      </c>
      <c r="J21" s="2" t="s">
        <v>117</v>
      </c>
      <c r="K21" s="2"/>
      <c r="L21" s="2"/>
      <c r="M21" s="2"/>
      <c r="N21" s="2"/>
    </row>
    <row r="22" customFormat="false" ht="15" hidden="false" customHeight="false" outlineLevel="0" collapsed="false">
      <c r="A22" s="2" t="s">
        <v>118</v>
      </c>
      <c r="B22" s="2" t="s">
        <v>24</v>
      </c>
      <c r="C22" s="2" t="s">
        <v>101</v>
      </c>
      <c r="D22" s="2" t="s">
        <v>102</v>
      </c>
      <c r="E22" s="5" t="n">
        <f aca="false">ROUND(G22*$M$2,0)</f>
        <v>0</v>
      </c>
      <c r="F22" s="5" t="n">
        <f aca="false">ROUND(H22*$M$2,0)</f>
        <v>0</v>
      </c>
      <c r="G22" s="6" t="n">
        <v>0</v>
      </c>
      <c r="H22" s="6" t="n">
        <v>0</v>
      </c>
      <c r="I22" s="2" t="s">
        <v>49</v>
      </c>
      <c r="J22" s="2" t="s">
        <v>119</v>
      </c>
      <c r="K22" s="2"/>
      <c r="L22" s="2"/>
      <c r="M22" s="2"/>
      <c r="N22" s="2"/>
    </row>
    <row r="23" customFormat="false" ht="15" hidden="false" customHeight="false" outlineLevel="0" collapsed="false">
      <c r="A23" s="2" t="s">
        <v>120</v>
      </c>
      <c r="B23" s="2" t="s">
        <v>24</v>
      </c>
      <c r="C23" s="2" t="s">
        <v>101</v>
      </c>
      <c r="D23" s="2" t="s">
        <v>92</v>
      </c>
      <c r="E23" s="5" t="n">
        <f aca="false">ROUND(G23*$M$2,0)</f>
        <v>4518</v>
      </c>
      <c r="F23" s="5" t="n">
        <f aca="false">ROUND(H23*$M$2,0)</f>
        <v>2259</v>
      </c>
      <c r="G23" s="6" t="n">
        <v>38</v>
      </c>
      <c r="H23" s="6" t="n">
        <v>19</v>
      </c>
      <c r="I23" s="2" t="s">
        <v>49</v>
      </c>
      <c r="J23" s="2" t="s">
        <v>121</v>
      </c>
      <c r="K23" s="2"/>
      <c r="L23" s="2"/>
      <c r="M23" s="2"/>
      <c r="N23" s="2"/>
    </row>
    <row r="24" customFormat="false" ht="15" hidden="false" customHeight="false" outlineLevel="0" collapsed="false">
      <c r="A24" s="2" t="s">
        <v>122</v>
      </c>
      <c r="B24" s="2" t="s">
        <v>27</v>
      </c>
      <c r="C24" s="2" t="s">
        <v>101</v>
      </c>
      <c r="D24" s="2" t="s">
        <v>114</v>
      </c>
      <c r="E24" s="5" t="n">
        <f aca="false">ROUND(G24*$M$2,0)</f>
        <v>0</v>
      </c>
      <c r="F24" s="5" t="n">
        <f aca="false">ROUND(H24*$M$2,0)</f>
        <v>0</v>
      </c>
      <c r="G24" s="6" t="n">
        <v>0</v>
      </c>
      <c r="H24" s="6" t="n">
        <v>0</v>
      </c>
      <c r="I24" s="2" t="s">
        <v>49</v>
      </c>
      <c r="J24" s="2" t="s">
        <v>123</v>
      </c>
      <c r="K24" s="2"/>
      <c r="L24" s="2"/>
      <c r="M24" s="2"/>
      <c r="N24" s="2"/>
    </row>
    <row r="25" customFormat="false" ht="15" hidden="false" customHeight="false" outlineLevel="0" collapsed="false">
      <c r="A25" s="2" t="s">
        <v>124</v>
      </c>
      <c r="B25" s="2" t="s">
        <v>27</v>
      </c>
      <c r="C25" s="2" t="s">
        <v>98</v>
      </c>
      <c r="D25" s="2" t="s">
        <v>92</v>
      </c>
      <c r="E25" s="5" t="n">
        <f aca="false">ROUND(G25*$M$2,0)</f>
        <v>2378</v>
      </c>
      <c r="F25" s="5" t="n">
        <f aca="false">ROUND(H25*$M$2,0)</f>
        <v>1189</v>
      </c>
      <c r="G25" s="6" t="n">
        <v>20</v>
      </c>
      <c r="H25" s="6" t="n">
        <v>10</v>
      </c>
      <c r="I25" s="10" t="s">
        <v>69</v>
      </c>
      <c r="J25" s="2" t="s">
        <v>125</v>
      </c>
      <c r="K25" s="2"/>
      <c r="L25" s="2"/>
      <c r="M25" s="2"/>
      <c r="N25" s="2"/>
    </row>
    <row r="26" customFormat="false" ht="15" hidden="false" customHeight="false" outlineLevel="0" collapsed="false">
      <c r="A26" s="2" t="s">
        <v>126</v>
      </c>
      <c r="B26" s="2" t="s">
        <v>30</v>
      </c>
      <c r="C26" s="2" t="s">
        <v>101</v>
      </c>
      <c r="D26" s="2" t="s">
        <v>102</v>
      </c>
      <c r="E26" s="5" t="n">
        <f aca="false">ROUND(G26*$M$2,0)</f>
        <v>0</v>
      </c>
      <c r="F26" s="5" t="n">
        <f aca="false">ROUND(H26*$M$2,0)</f>
        <v>0</v>
      </c>
      <c r="G26" s="6" t="n">
        <v>0</v>
      </c>
      <c r="H26" s="6" t="n">
        <v>0</v>
      </c>
      <c r="I26" s="2" t="s">
        <v>49</v>
      </c>
      <c r="J26" s="2" t="s">
        <v>107</v>
      </c>
      <c r="K26" s="2"/>
      <c r="L26" s="2"/>
      <c r="M26" s="2"/>
      <c r="N26" s="2"/>
    </row>
    <row r="27" customFormat="false" ht="15" hidden="false" customHeight="false" outlineLevel="0" collapsed="false">
      <c r="A27" s="2" t="s">
        <v>127</v>
      </c>
      <c r="B27" s="2" t="s">
        <v>30</v>
      </c>
      <c r="C27" s="2" t="s">
        <v>98</v>
      </c>
      <c r="D27" s="2" t="s">
        <v>92</v>
      </c>
      <c r="E27" s="5" t="n">
        <f aca="false">ROUND(G27*$M$2,0)</f>
        <v>0</v>
      </c>
      <c r="F27" s="5" t="n">
        <f aca="false">ROUND(H27*$M$2,0)</f>
        <v>0</v>
      </c>
      <c r="G27" s="6" t="n">
        <v>0</v>
      </c>
      <c r="H27" s="6" t="n">
        <v>0</v>
      </c>
      <c r="I27" s="2" t="s">
        <v>49</v>
      </c>
      <c r="J27" s="2" t="s">
        <v>128</v>
      </c>
      <c r="K27" s="2"/>
      <c r="L27" s="2"/>
      <c r="M27" s="2"/>
      <c r="N27" s="2"/>
    </row>
    <row r="28" customFormat="false" ht="23.85" hidden="false" customHeight="false" outlineLevel="0" collapsed="false">
      <c r="A28" s="2" t="s">
        <v>129</v>
      </c>
      <c r="B28" s="2" t="s">
        <v>20</v>
      </c>
      <c r="C28" s="2" t="s">
        <v>78</v>
      </c>
      <c r="D28" s="2" t="s">
        <v>92</v>
      </c>
      <c r="E28" s="5" t="n">
        <f aca="false">ROUND(G28*$M$2,0)</f>
        <v>0</v>
      </c>
      <c r="F28" s="5" t="n">
        <f aca="false">ROUND(H28*$M$2,0)</f>
        <v>0</v>
      </c>
      <c r="G28" s="6" t="n">
        <v>0</v>
      </c>
      <c r="H28" s="6" t="n">
        <v>0</v>
      </c>
      <c r="I28" s="2" t="s">
        <v>49</v>
      </c>
      <c r="J28" s="2" t="s">
        <v>130</v>
      </c>
      <c r="K28" s="2"/>
      <c r="L28" s="2"/>
      <c r="M28" s="2"/>
      <c r="N28" s="2"/>
    </row>
    <row r="29" customFormat="false" ht="15" hidden="false" customHeight="false" outlineLevel="0" collapsed="false">
      <c r="A29" s="2" t="s">
        <v>131</v>
      </c>
      <c r="B29" s="2" t="s">
        <v>4</v>
      </c>
      <c r="C29" s="2" t="s">
        <v>101</v>
      </c>
      <c r="D29" s="2" t="s">
        <v>132</v>
      </c>
      <c r="E29" s="5" t="n">
        <f aca="false">ROUND(G29*$M$2,0)</f>
        <v>0</v>
      </c>
      <c r="F29" s="5" t="n">
        <f aca="false">ROUND(H29*$M$2,0)</f>
        <v>0</v>
      </c>
      <c r="G29" s="6" t="n">
        <v>0</v>
      </c>
      <c r="H29" s="6" t="n">
        <v>0</v>
      </c>
      <c r="I29" s="2" t="s">
        <v>49</v>
      </c>
      <c r="J29" s="2" t="s">
        <v>107</v>
      </c>
      <c r="K29" s="2"/>
      <c r="L29" s="2"/>
      <c r="M29" s="2"/>
      <c r="N29" s="2"/>
    </row>
    <row r="30" customFormat="false" ht="15" hidden="false" customHeight="false" outlineLevel="0" collapsed="false">
      <c r="A30" s="2" t="s">
        <v>133</v>
      </c>
      <c r="B30" s="2" t="s">
        <v>4</v>
      </c>
      <c r="C30" s="2" t="s">
        <v>101</v>
      </c>
      <c r="D30" s="2" t="s">
        <v>132</v>
      </c>
      <c r="E30" s="5" t="n">
        <f aca="false">ROUND(G30*$M$2,0)</f>
        <v>1427</v>
      </c>
      <c r="F30" s="5" t="n">
        <f aca="false">ROUND(H30*$M$2,0)</f>
        <v>951</v>
      </c>
      <c r="G30" s="6" t="n">
        <v>12</v>
      </c>
      <c r="H30" s="6" t="n">
        <v>8</v>
      </c>
      <c r="I30" s="2" t="s">
        <v>49</v>
      </c>
      <c r="J30" s="2" t="s">
        <v>134</v>
      </c>
      <c r="K30" s="2"/>
      <c r="L30" s="2"/>
      <c r="M30" s="2"/>
      <c r="N30" s="2"/>
    </row>
    <row r="31" customFormat="false" ht="15" hidden="false" customHeight="false" outlineLevel="0" collapsed="false">
      <c r="A31" s="2" t="s">
        <v>135</v>
      </c>
      <c r="B31" s="2" t="s">
        <v>4</v>
      </c>
      <c r="C31" s="2" t="s">
        <v>98</v>
      </c>
      <c r="D31" s="2" t="s">
        <v>132</v>
      </c>
      <c r="E31" s="5" t="n">
        <f aca="false">ROUND(G31*$M$2,0)</f>
        <v>1784</v>
      </c>
      <c r="F31" s="5" t="n">
        <f aca="false">ROUND(H31*$M$2,0)</f>
        <v>0</v>
      </c>
      <c r="G31" s="6" t="n">
        <v>15</v>
      </c>
      <c r="H31" s="6" t="n">
        <v>0</v>
      </c>
      <c r="I31" s="10" t="s">
        <v>69</v>
      </c>
      <c r="J31" s="2" t="s">
        <v>136</v>
      </c>
      <c r="K31" s="2"/>
      <c r="L31" s="2"/>
      <c r="M31" s="2"/>
      <c r="N31" s="2"/>
    </row>
    <row r="32" customFormat="false" ht="15" hidden="false" customHeight="false" outlineLevel="0" collapsed="false">
      <c r="A32" s="2" t="s">
        <v>137</v>
      </c>
      <c r="B32" s="2" t="s">
        <v>4</v>
      </c>
      <c r="C32" s="2" t="s">
        <v>98</v>
      </c>
      <c r="D32" s="2" t="s">
        <v>92</v>
      </c>
      <c r="E32" s="5" t="n">
        <f aca="false">ROUND(G32*$M$2,0)</f>
        <v>1189</v>
      </c>
      <c r="F32" s="5" t="n">
        <f aca="false">ROUND(H32*$M$2,0)</f>
        <v>0</v>
      </c>
      <c r="G32" s="6" t="n">
        <v>10</v>
      </c>
      <c r="H32" s="6" t="n">
        <v>0</v>
      </c>
      <c r="I32" s="10" t="s">
        <v>69</v>
      </c>
      <c r="J32" s="2" t="s">
        <v>138</v>
      </c>
      <c r="K32" s="2"/>
      <c r="L32" s="2"/>
      <c r="M32" s="2"/>
      <c r="N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31.5" hidden="false" customHeight="true" outlineLevel="0" collapsed="false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 customFormat="false" ht="15" hidden="false" customHeight="false" outlineLevel="0" collapsed="false">
      <c r="A2" s="2" t="s">
        <v>145</v>
      </c>
      <c r="B2" s="2" t="s">
        <v>146</v>
      </c>
      <c r="C2" s="11" t="n">
        <v>285</v>
      </c>
      <c r="D2" s="2" t="s">
        <v>147</v>
      </c>
      <c r="E2" s="11" t="n">
        <v>185</v>
      </c>
      <c r="F2" s="2" t="s">
        <v>148</v>
      </c>
    </row>
    <row r="3" customFormat="false" ht="15" hidden="false" customHeight="false" outlineLevel="0" collapsed="false">
      <c r="A3" s="2" t="s">
        <v>145</v>
      </c>
      <c r="B3" s="2" t="s">
        <v>4</v>
      </c>
      <c r="C3" s="11" t="n">
        <v>12</v>
      </c>
      <c r="D3" s="2" t="s">
        <v>149</v>
      </c>
      <c r="E3" s="11" t="n">
        <v>20</v>
      </c>
      <c r="F3" s="2" t="s">
        <v>148</v>
      </c>
    </row>
    <row r="4" customFormat="false" ht="15" hidden="false" customHeight="false" outlineLevel="0" collapsed="false">
      <c r="A4" s="2" t="s">
        <v>145</v>
      </c>
      <c r="B4" s="2" t="s">
        <v>8</v>
      </c>
      <c r="C4" s="11" t="n">
        <v>65</v>
      </c>
      <c r="D4" s="2" t="s">
        <v>150</v>
      </c>
      <c r="E4" s="11" t="n">
        <v>55</v>
      </c>
      <c r="F4" s="2" t="s">
        <v>148</v>
      </c>
    </row>
    <row r="5" customFormat="false" ht="15" hidden="false" customHeight="false" outlineLevel="0" collapsed="false">
      <c r="A5" s="2" t="s">
        <v>145</v>
      </c>
      <c r="B5" s="2" t="s">
        <v>11</v>
      </c>
      <c r="C5" s="11" t="n">
        <v>100</v>
      </c>
      <c r="D5" s="2" t="s">
        <v>151</v>
      </c>
      <c r="E5" s="11" t="n">
        <v>85</v>
      </c>
      <c r="F5" s="2" t="s">
        <v>148</v>
      </c>
    </row>
    <row r="6" customFormat="false" ht="15" hidden="false" customHeight="false" outlineLevel="0" collapsed="false">
      <c r="A6" s="2" t="s">
        <v>145</v>
      </c>
      <c r="B6" s="2" t="s">
        <v>14</v>
      </c>
      <c r="C6" s="11" t="n">
        <v>150</v>
      </c>
      <c r="D6" s="2" t="s">
        <v>152</v>
      </c>
      <c r="E6" s="11" t="n">
        <v>125</v>
      </c>
      <c r="F6" s="2" t="s">
        <v>148</v>
      </c>
    </row>
    <row r="7" customFormat="false" ht="15" hidden="false" customHeight="false" outlineLevel="0" collapsed="false">
      <c r="A7" s="2" t="s">
        <v>145</v>
      </c>
      <c r="B7" s="2" t="s">
        <v>17</v>
      </c>
      <c r="C7" s="11" t="n">
        <v>165</v>
      </c>
      <c r="D7" s="2" t="s">
        <v>153</v>
      </c>
      <c r="E7" s="11" t="n">
        <v>140</v>
      </c>
      <c r="F7" s="2" t="s">
        <v>148</v>
      </c>
    </row>
    <row r="8" customFormat="false" ht="23.85" hidden="false" customHeight="false" outlineLevel="0" collapsed="false">
      <c r="A8" s="2" t="s">
        <v>145</v>
      </c>
      <c r="B8" s="2" t="s">
        <v>154</v>
      </c>
      <c r="C8" s="11" t="n">
        <v>285</v>
      </c>
      <c r="D8" s="2" t="s">
        <v>155</v>
      </c>
      <c r="E8" s="11" t="n">
        <v>225</v>
      </c>
      <c r="F8" s="2" t="s">
        <v>156</v>
      </c>
    </row>
    <row r="9" customFormat="false" ht="15" hidden="false" customHeight="false" outlineLevel="0" collapsed="false">
      <c r="A9" s="2" t="s">
        <v>145</v>
      </c>
      <c r="B9" s="2" t="s">
        <v>24</v>
      </c>
      <c r="C9" s="11" t="n">
        <v>240</v>
      </c>
      <c r="D9" s="2" t="s">
        <v>157</v>
      </c>
      <c r="E9" s="11" t="n">
        <v>165</v>
      </c>
      <c r="F9" s="2" t="s">
        <v>148</v>
      </c>
    </row>
    <row r="10" customFormat="false" ht="15" hidden="false" customHeight="false" outlineLevel="0" collapsed="false">
      <c r="A10" s="2" t="s">
        <v>145</v>
      </c>
      <c r="B10" s="2" t="s">
        <v>27</v>
      </c>
      <c r="C10" s="11" t="n">
        <v>225</v>
      </c>
      <c r="D10" s="2" t="s">
        <v>158</v>
      </c>
      <c r="E10" s="11" t="n">
        <v>150</v>
      </c>
      <c r="F10" s="2" t="s">
        <v>148</v>
      </c>
    </row>
    <row r="11" customFormat="false" ht="15" hidden="false" customHeight="false" outlineLevel="0" collapsed="false">
      <c r="A11" s="2" t="s">
        <v>145</v>
      </c>
      <c r="B11" s="2" t="s">
        <v>30</v>
      </c>
      <c r="C11" s="11" t="n">
        <v>285</v>
      </c>
      <c r="D11" s="2" t="s">
        <v>147</v>
      </c>
      <c r="E11" s="11" t="n">
        <v>185</v>
      </c>
      <c r="F11" s="2" t="s">
        <v>148</v>
      </c>
    </row>
    <row r="12" customFormat="false" ht="15" hidden="false" customHeight="false" outlineLevel="0" collapsed="false">
      <c r="A12" s="2" t="s">
        <v>146</v>
      </c>
      <c r="B12" s="2" t="s">
        <v>4</v>
      </c>
      <c r="C12" s="11" t="n">
        <v>280</v>
      </c>
      <c r="D12" s="2" t="s">
        <v>159</v>
      </c>
      <c r="E12" s="11" t="n">
        <v>180</v>
      </c>
      <c r="F12" s="2" t="s">
        <v>148</v>
      </c>
    </row>
    <row r="13" customFormat="false" ht="15" hidden="false" customHeight="false" outlineLevel="0" collapsed="false">
      <c r="A13" s="2" t="s">
        <v>146</v>
      </c>
      <c r="B13" s="2" t="s">
        <v>8</v>
      </c>
      <c r="C13" s="11" t="n">
        <v>265</v>
      </c>
      <c r="D13" s="2" t="s">
        <v>160</v>
      </c>
      <c r="E13" s="11" t="n">
        <v>175</v>
      </c>
      <c r="F13" s="2" t="s">
        <v>148</v>
      </c>
    </row>
    <row r="14" customFormat="false" ht="15" hidden="false" customHeight="false" outlineLevel="0" collapsed="false">
      <c r="A14" s="2" t="s">
        <v>146</v>
      </c>
      <c r="B14" s="2" t="s">
        <v>11</v>
      </c>
      <c r="C14" s="11" t="n">
        <v>285</v>
      </c>
      <c r="D14" s="2" t="s">
        <v>161</v>
      </c>
      <c r="E14" s="11" t="n">
        <v>195</v>
      </c>
      <c r="F14" s="2" t="s">
        <v>148</v>
      </c>
    </row>
    <row r="15" customFormat="false" ht="15" hidden="false" customHeight="false" outlineLevel="0" collapsed="false">
      <c r="A15" s="2" t="s">
        <v>146</v>
      </c>
      <c r="B15" s="2" t="s">
        <v>14</v>
      </c>
      <c r="C15" s="11" t="n">
        <v>220</v>
      </c>
      <c r="D15" s="2" t="s">
        <v>162</v>
      </c>
      <c r="E15" s="11" t="n">
        <v>170</v>
      </c>
      <c r="F15" s="2" t="s">
        <v>148</v>
      </c>
    </row>
    <row r="16" customFormat="false" ht="15" hidden="false" customHeight="false" outlineLevel="0" collapsed="false">
      <c r="A16" s="2" t="s">
        <v>146</v>
      </c>
      <c r="B16" s="2" t="s">
        <v>17</v>
      </c>
      <c r="C16" s="11" t="n">
        <v>235</v>
      </c>
      <c r="D16" s="2" t="s">
        <v>147</v>
      </c>
      <c r="E16" s="11" t="n">
        <v>185</v>
      </c>
      <c r="F16" s="2" t="s">
        <v>148</v>
      </c>
    </row>
    <row r="17" customFormat="false" ht="23.85" hidden="false" customHeight="false" outlineLevel="0" collapsed="false">
      <c r="A17" s="2" t="s">
        <v>146</v>
      </c>
      <c r="B17" s="2" t="s">
        <v>154</v>
      </c>
      <c r="C17" s="11" t="n">
        <v>235</v>
      </c>
      <c r="D17" s="2" t="s">
        <v>162</v>
      </c>
      <c r="E17" s="11" t="n">
        <v>170</v>
      </c>
      <c r="F17" s="2" t="s">
        <v>156</v>
      </c>
    </row>
    <row r="18" customFormat="false" ht="15" hidden="false" customHeight="false" outlineLevel="0" collapsed="false">
      <c r="A18" s="2" t="s">
        <v>146</v>
      </c>
      <c r="B18" s="2" t="s">
        <v>24</v>
      </c>
      <c r="C18" s="11" t="n">
        <v>100</v>
      </c>
      <c r="D18" s="2" t="s">
        <v>163</v>
      </c>
      <c r="E18" s="11" t="n">
        <v>70</v>
      </c>
      <c r="F18" s="2" t="s">
        <v>148</v>
      </c>
    </row>
    <row r="19" customFormat="false" ht="15" hidden="false" customHeight="false" outlineLevel="0" collapsed="false">
      <c r="A19" s="2" t="s">
        <v>146</v>
      </c>
      <c r="B19" s="2" t="s">
        <v>27</v>
      </c>
      <c r="C19" s="11" t="n">
        <v>65</v>
      </c>
      <c r="D19" s="2" t="s">
        <v>164</v>
      </c>
      <c r="E19" s="11" t="n">
        <v>50</v>
      </c>
      <c r="F19" s="2" t="s">
        <v>148</v>
      </c>
    </row>
    <row r="20" customFormat="false" ht="15" hidden="false" customHeight="false" outlineLevel="0" collapsed="false">
      <c r="A20" s="2" t="s">
        <v>146</v>
      </c>
      <c r="B20" s="2" t="s">
        <v>30</v>
      </c>
      <c r="C20" s="11" t="n">
        <v>6</v>
      </c>
      <c r="D20" s="2" t="s">
        <v>165</v>
      </c>
      <c r="E20" s="11" t="n">
        <v>15</v>
      </c>
      <c r="F20" s="2" t="s">
        <v>148</v>
      </c>
    </row>
    <row r="21" customFormat="false" ht="15" hidden="false" customHeight="false" outlineLevel="0" collapsed="false">
      <c r="A21" s="2" t="s">
        <v>4</v>
      </c>
      <c r="B21" s="2" t="s">
        <v>8</v>
      </c>
      <c r="C21" s="11" t="n">
        <v>55</v>
      </c>
      <c r="D21" s="2" t="s">
        <v>164</v>
      </c>
      <c r="E21" s="11" t="n">
        <v>50</v>
      </c>
      <c r="F21" s="2" t="s">
        <v>148</v>
      </c>
    </row>
    <row r="22" customFormat="false" ht="15" hidden="false" customHeight="false" outlineLevel="0" collapsed="false">
      <c r="A22" s="2" t="s">
        <v>4</v>
      </c>
      <c r="B22" s="2" t="s">
        <v>11</v>
      </c>
      <c r="C22" s="11" t="n">
        <v>90</v>
      </c>
      <c r="D22" s="2" t="s">
        <v>166</v>
      </c>
      <c r="E22" s="11" t="n">
        <v>80</v>
      </c>
      <c r="F22" s="2" t="s">
        <v>148</v>
      </c>
    </row>
    <row r="23" customFormat="false" ht="15" hidden="false" customHeight="false" outlineLevel="0" collapsed="false">
      <c r="A23" s="2" t="s">
        <v>4</v>
      </c>
      <c r="B23" s="2" t="s">
        <v>14</v>
      </c>
      <c r="C23" s="11" t="n">
        <v>140</v>
      </c>
      <c r="D23" s="2" t="s">
        <v>167</v>
      </c>
      <c r="E23" s="11" t="n">
        <v>120</v>
      </c>
      <c r="F23" s="2" t="s">
        <v>148</v>
      </c>
    </row>
    <row r="24" customFormat="false" ht="15" hidden="false" customHeight="false" outlineLevel="0" collapsed="false">
      <c r="A24" s="2" t="s">
        <v>4</v>
      </c>
      <c r="B24" s="2" t="s">
        <v>17</v>
      </c>
      <c r="C24" s="11" t="n">
        <v>155</v>
      </c>
      <c r="D24" s="2" t="s">
        <v>168</v>
      </c>
      <c r="E24" s="11" t="n">
        <v>135</v>
      </c>
      <c r="F24" s="2" t="s">
        <v>148</v>
      </c>
    </row>
    <row r="25" customFormat="false" ht="23.85" hidden="false" customHeight="false" outlineLevel="0" collapsed="false">
      <c r="A25" s="2" t="s">
        <v>4</v>
      </c>
      <c r="B25" s="2" t="s">
        <v>154</v>
      </c>
      <c r="C25" s="11" t="n">
        <v>280</v>
      </c>
      <c r="D25" s="2" t="s">
        <v>169</v>
      </c>
      <c r="E25" s="11" t="n">
        <v>220</v>
      </c>
      <c r="F25" s="2" t="s">
        <v>156</v>
      </c>
    </row>
    <row r="26" customFormat="false" ht="15" hidden="false" customHeight="false" outlineLevel="0" collapsed="false">
      <c r="A26" s="2" t="s">
        <v>4</v>
      </c>
      <c r="B26" s="2" t="s">
        <v>24</v>
      </c>
      <c r="C26" s="11" t="n">
        <v>235</v>
      </c>
      <c r="D26" s="2" t="s">
        <v>170</v>
      </c>
      <c r="E26" s="11" t="n">
        <v>160</v>
      </c>
      <c r="F26" s="2" t="s">
        <v>148</v>
      </c>
    </row>
    <row r="27" customFormat="false" ht="15" hidden="false" customHeight="false" outlineLevel="0" collapsed="false">
      <c r="A27" s="2" t="s">
        <v>4</v>
      </c>
      <c r="B27" s="2" t="s">
        <v>27</v>
      </c>
      <c r="C27" s="11" t="n">
        <v>215</v>
      </c>
      <c r="D27" s="2" t="s">
        <v>171</v>
      </c>
      <c r="E27" s="11" t="n">
        <v>145</v>
      </c>
      <c r="F27" s="2" t="s">
        <v>148</v>
      </c>
    </row>
    <row r="28" customFormat="false" ht="15" hidden="false" customHeight="false" outlineLevel="0" collapsed="false">
      <c r="A28" s="2" t="s">
        <v>4</v>
      </c>
      <c r="B28" s="2" t="s">
        <v>30</v>
      </c>
      <c r="C28" s="11" t="n">
        <v>280</v>
      </c>
      <c r="D28" s="2" t="s">
        <v>159</v>
      </c>
      <c r="E28" s="11" t="n">
        <v>180</v>
      </c>
      <c r="F28" s="2" t="s">
        <v>148</v>
      </c>
    </row>
    <row r="29" customFormat="false" ht="15" hidden="false" customHeight="false" outlineLevel="0" collapsed="false">
      <c r="A29" s="2" t="s">
        <v>8</v>
      </c>
      <c r="B29" s="2" t="s">
        <v>11</v>
      </c>
      <c r="C29" s="11" t="n">
        <v>40</v>
      </c>
      <c r="D29" s="2" t="s">
        <v>109</v>
      </c>
      <c r="E29" s="11" t="n">
        <v>45</v>
      </c>
      <c r="F29" s="2" t="s">
        <v>148</v>
      </c>
    </row>
    <row r="30" customFormat="false" ht="15" hidden="false" customHeight="false" outlineLevel="0" collapsed="false">
      <c r="A30" s="2" t="s">
        <v>8</v>
      </c>
      <c r="B30" s="2" t="s">
        <v>14</v>
      </c>
      <c r="C30" s="11" t="n">
        <v>70</v>
      </c>
      <c r="D30" s="2" t="s">
        <v>166</v>
      </c>
      <c r="E30" s="11" t="n">
        <v>80</v>
      </c>
      <c r="F30" s="2" t="s">
        <v>148</v>
      </c>
    </row>
    <row r="31" customFormat="false" ht="15" hidden="false" customHeight="false" outlineLevel="0" collapsed="false">
      <c r="A31" s="2" t="s">
        <v>8</v>
      </c>
      <c r="B31" s="2" t="s">
        <v>17</v>
      </c>
      <c r="C31" s="11" t="n">
        <v>85</v>
      </c>
      <c r="D31" s="2" t="s">
        <v>172</v>
      </c>
      <c r="E31" s="11" t="n">
        <v>95</v>
      </c>
      <c r="F31" s="2" t="s">
        <v>148</v>
      </c>
    </row>
    <row r="32" customFormat="false" ht="23.85" hidden="false" customHeight="false" outlineLevel="0" collapsed="false">
      <c r="A32" s="2" t="s">
        <v>8</v>
      </c>
      <c r="B32" s="2" t="s">
        <v>154</v>
      </c>
      <c r="C32" s="11" t="n">
        <v>240</v>
      </c>
      <c r="D32" s="2" t="s">
        <v>173</v>
      </c>
      <c r="E32" s="11" t="n">
        <v>210</v>
      </c>
      <c r="F32" s="2" t="s">
        <v>156</v>
      </c>
    </row>
    <row r="33" customFormat="false" ht="15" hidden="false" customHeight="false" outlineLevel="0" collapsed="false">
      <c r="A33" s="2" t="s">
        <v>8</v>
      </c>
      <c r="B33" s="2" t="s">
        <v>24</v>
      </c>
      <c r="C33" s="11" t="n">
        <v>200</v>
      </c>
      <c r="D33" s="2" t="s">
        <v>158</v>
      </c>
      <c r="E33" s="11" t="n">
        <v>150</v>
      </c>
      <c r="F33" s="2" t="s">
        <v>148</v>
      </c>
    </row>
    <row r="34" customFormat="false" ht="15" hidden="false" customHeight="false" outlineLevel="0" collapsed="false">
      <c r="A34" s="2" t="s">
        <v>8</v>
      </c>
      <c r="B34" s="2" t="s">
        <v>27</v>
      </c>
      <c r="C34" s="11" t="n">
        <v>185</v>
      </c>
      <c r="D34" s="2" t="s">
        <v>168</v>
      </c>
      <c r="E34" s="11" t="n">
        <v>135</v>
      </c>
      <c r="F34" s="2" t="s">
        <v>148</v>
      </c>
    </row>
    <row r="35" customFormat="false" ht="15" hidden="false" customHeight="false" outlineLevel="0" collapsed="false">
      <c r="A35" s="2" t="s">
        <v>8</v>
      </c>
      <c r="B35" s="2" t="s">
        <v>30</v>
      </c>
      <c r="C35" s="11" t="n">
        <v>260</v>
      </c>
      <c r="D35" s="2" t="s">
        <v>162</v>
      </c>
      <c r="E35" s="11" t="n">
        <v>170</v>
      </c>
      <c r="F35" s="2" t="s">
        <v>148</v>
      </c>
    </row>
    <row r="36" customFormat="false" ht="15" hidden="false" customHeight="false" outlineLevel="0" collapsed="false">
      <c r="A36" s="2" t="s">
        <v>11</v>
      </c>
      <c r="B36" s="2" t="s">
        <v>14</v>
      </c>
      <c r="C36" s="11" t="n">
        <v>85</v>
      </c>
      <c r="D36" s="2" t="s">
        <v>172</v>
      </c>
      <c r="E36" s="11" t="n">
        <v>95</v>
      </c>
      <c r="F36" s="2" t="s">
        <v>148</v>
      </c>
    </row>
    <row r="37" customFormat="false" ht="15" hidden="false" customHeight="false" outlineLevel="0" collapsed="false">
      <c r="A37" s="2" t="s">
        <v>11</v>
      </c>
      <c r="B37" s="2" t="s">
        <v>17</v>
      </c>
      <c r="C37" s="11" t="n">
        <v>100</v>
      </c>
      <c r="D37" s="2" t="s">
        <v>174</v>
      </c>
      <c r="E37" s="11" t="n">
        <v>110</v>
      </c>
      <c r="F37" s="2" t="s">
        <v>148</v>
      </c>
    </row>
    <row r="38" customFormat="false" ht="23.85" hidden="false" customHeight="false" outlineLevel="0" collapsed="false">
      <c r="A38" s="2" t="s">
        <v>11</v>
      </c>
      <c r="B38" s="2" t="s">
        <v>154</v>
      </c>
      <c r="C38" s="11" t="n">
        <v>255</v>
      </c>
      <c r="D38" s="2" t="s">
        <v>155</v>
      </c>
      <c r="E38" s="11" t="n">
        <v>225</v>
      </c>
      <c r="F38" s="2" t="s">
        <v>156</v>
      </c>
    </row>
    <row r="39" customFormat="false" ht="15" hidden="false" customHeight="false" outlineLevel="0" collapsed="false">
      <c r="A39" s="2" t="s">
        <v>11</v>
      </c>
      <c r="B39" s="2" t="s">
        <v>24</v>
      </c>
      <c r="C39" s="11" t="n">
        <v>215</v>
      </c>
      <c r="D39" s="2" t="s">
        <v>157</v>
      </c>
      <c r="E39" s="11" t="n">
        <v>165</v>
      </c>
      <c r="F39" s="2" t="s">
        <v>148</v>
      </c>
    </row>
    <row r="40" customFormat="false" ht="15" hidden="false" customHeight="false" outlineLevel="0" collapsed="false">
      <c r="A40" s="2" t="s">
        <v>11</v>
      </c>
      <c r="B40" s="2" t="s">
        <v>27</v>
      </c>
      <c r="C40" s="11" t="n">
        <v>200</v>
      </c>
      <c r="D40" s="2" t="s">
        <v>158</v>
      </c>
      <c r="E40" s="11" t="n">
        <v>150</v>
      </c>
      <c r="F40" s="2" t="s">
        <v>148</v>
      </c>
    </row>
    <row r="41" customFormat="false" ht="15" hidden="false" customHeight="false" outlineLevel="0" collapsed="false">
      <c r="A41" s="2" t="s">
        <v>11</v>
      </c>
      <c r="B41" s="2" t="s">
        <v>30</v>
      </c>
      <c r="C41" s="11" t="n">
        <v>280</v>
      </c>
      <c r="D41" s="2" t="s">
        <v>161</v>
      </c>
      <c r="E41" s="11" t="n">
        <v>195</v>
      </c>
      <c r="F41" s="2" t="s">
        <v>148</v>
      </c>
    </row>
    <row r="42" customFormat="false" ht="15" hidden="false" customHeight="false" outlineLevel="0" collapsed="false">
      <c r="A42" s="2" t="s">
        <v>14</v>
      </c>
      <c r="B42" s="2" t="s">
        <v>17</v>
      </c>
      <c r="C42" s="11" t="n">
        <v>20</v>
      </c>
      <c r="D42" s="2" t="s">
        <v>175</v>
      </c>
      <c r="E42" s="11" t="n">
        <v>30</v>
      </c>
      <c r="F42" s="2" t="s">
        <v>148</v>
      </c>
    </row>
    <row r="43" customFormat="false" ht="23.85" hidden="false" customHeight="false" outlineLevel="0" collapsed="false">
      <c r="A43" s="2" t="s">
        <v>14</v>
      </c>
      <c r="B43" s="2" t="s">
        <v>154</v>
      </c>
      <c r="C43" s="11" t="n">
        <v>130</v>
      </c>
      <c r="D43" s="2" t="s">
        <v>168</v>
      </c>
      <c r="E43" s="11" t="n">
        <v>135</v>
      </c>
      <c r="F43" s="2" t="s">
        <v>176</v>
      </c>
    </row>
    <row r="44" customFormat="false" ht="15" hidden="false" customHeight="false" outlineLevel="0" collapsed="false">
      <c r="A44" s="2" t="s">
        <v>14</v>
      </c>
      <c r="B44" s="2" t="s">
        <v>24</v>
      </c>
      <c r="C44" s="11" t="n">
        <v>125</v>
      </c>
      <c r="D44" s="2" t="s">
        <v>167</v>
      </c>
      <c r="E44" s="11" t="n">
        <v>120</v>
      </c>
      <c r="F44" s="2" t="s">
        <v>148</v>
      </c>
    </row>
    <row r="45" customFormat="false" ht="15" hidden="false" customHeight="false" outlineLevel="0" collapsed="false">
      <c r="A45" s="2" t="s">
        <v>14</v>
      </c>
      <c r="B45" s="2" t="s">
        <v>27</v>
      </c>
      <c r="C45" s="11" t="n">
        <v>150</v>
      </c>
      <c r="D45" s="2" t="s">
        <v>167</v>
      </c>
      <c r="E45" s="11" t="n">
        <v>120</v>
      </c>
      <c r="F45" s="2" t="s">
        <v>148</v>
      </c>
    </row>
    <row r="46" customFormat="false" ht="15" hidden="false" customHeight="false" outlineLevel="0" collapsed="false">
      <c r="A46" s="2" t="s">
        <v>14</v>
      </c>
      <c r="B46" s="2" t="s">
        <v>30</v>
      </c>
      <c r="C46" s="11" t="n">
        <v>215</v>
      </c>
      <c r="D46" s="2" t="s">
        <v>157</v>
      </c>
      <c r="E46" s="11" t="n">
        <v>165</v>
      </c>
      <c r="F46" s="2" t="s">
        <v>148</v>
      </c>
    </row>
    <row r="47" customFormat="false" ht="23.85" hidden="false" customHeight="false" outlineLevel="0" collapsed="false">
      <c r="A47" s="2" t="s">
        <v>17</v>
      </c>
      <c r="B47" s="2" t="s">
        <v>154</v>
      </c>
      <c r="C47" s="11" t="n">
        <v>150</v>
      </c>
      <c r="D47" s="2" t="s">
        <v>170</v>
      </c>
      <c r="E47" s="11" t="n">
        <v>160</v>
      </c>
      <c r="F47" s="2" t="s">
        <v>176</v>
      </c>
    </row>
    <row r="48" customFormat="false" ht="15" hidden="false" customHeight="false" outlineLevel="0" collapsed="false">
      <c r="A48" s="2" t="s">
        <v>17</v>
      </c>
      <c r="B48" s="2" t="s">
        <v>24</v>
      </c>
      <c r="C48" s="11" t="n">
        <v>140</v>
      </c>
      <c r="D48" s="2" t="s">
        <v>168</v>
      </c>
      <c r="E48" s="11" t="n">
        <v>135</v>
      </c>
      <c r="F48" s="2" t="s">
        <v>148</v>
      </c>
    </row>
    <row r="49" customFormat="false" ht="15" hidden="false" customHeight="false" outlineLevel="0" collapsed="false">
      <c r="A49" s="2" t="s">
        <v>17</v>
      </c>
      <c r="B49" s="2" t="s">
        <v>27</v>
      </c>
      <c r="C49" s="11" t="n">
        <v>165</v>
      </c>
      <c r="D49" s="2" t="s">
        <v>153</v>
      </c>
      <c r="E49" s="11" t="n">
        <v>140</v>
      </c>
      <c r="F49" s="2" t="s">
        <v>148</v>
      </c>
    </row>
    <row r="50" customFormat="false" ht="15" hidden="false" customHeight="false" outlineLevel="0" collapsed="false">
      <c r="A50" s="2" t="s">
        <v>17</v>
      </c>
      <c r="B50" s="2" t="s">
        <v>30</v>
      </c>
      <c r="C50" s="11" t="n">
        <v>230</v>
      </c>
      <c r="D50" s="2" t="s">
        <v>159</v>
      </c>
      <c r="E50" s="11" t="n">
        <v>180</v>
      </c>
      <c r="F50" s="2" t="s">
        <v>148</v>
      </c>
    </row>
    <row r="51" customFormat="false" ht="23.85" hidden="false" customHeight="false" outlineLevel="0" collapsed="false">
      <c r="A51" s="2" t="s">
        <v>154</v>
      </c>
      <c r="B51" s="2" t="s">
        <v>24</v>
      </c>
      <c r="C51" s="11" t="n">
        <v>135</v>
      </c>
      <c r="D51" s="2" t="s">
        <v>174</v>
      </c>
      <c r="E51" s="11" t="n">
        <v>110</v>
      </c>
      <c r="F51" s="2" t="s">
        <v>156</v>
      </c>
    </row>
    <row r="52" customFormat="false" ht="23.85" hidden="false" customHeight="false" outlineLevel="0" collapsed="false">
      <c r="A52" s="2" t="s">
        <v>154</v>
      </c>
      <c r="B52" s="2" t="s">
        <v>27</v>
      </c>
      <c r="C52" s="11" t="n">
        <v>165</v>
      </c>
      <c r="D52" s="2" t="s">
        <v>177</v>
      </c>
      <c r="E52" s="11" t="n">
        <v>130</v>
      </c>
      <c r="F52" s="2" t="s">
        <v>156</v>
      </c>
    </row>
    <row r="53" customFormat="false" ht="23.85" hidden="false" customHeight="false" outlineLevel="0" collapsed="false">
      <c r="A53" s="2" t="s">
        <v>154</v>
      </c>
      <c r="B53" s="2" t="s">
        <v>30</v>
      </c>
      <c r="C53" s="11" t="n">
        <v>235</v>
      </c>
      <c r="D53" s="2" t="s">
        <v>162</v>
      </c>
      <c r="E53" s="11" t="n">
        <v>170</v>
      </c>
      <c r="F53" s="2" t="s">
        <v>156</v>
      </c>
    </row>
    <row r="54" customFormat="false" ht="15" hidden="false" customHeight="false" outlineLevel="0" collapsed="false">
      <c r="A54" s="2" t="s">
        <v>24</v>
      </c>
      <c r="B54" s="2" t="s">
        <v>27</v>
      </c>
      <c r="C54" s="11" t="n">
        <v>35</v>
      </c>
      <c r="D54" s="2" t="s">
        <v>175</v>
      </c>
      <c r="E54" s="11" t="n">
        <v>30</v>
      </c>
      <c r="F54" s="2" t="s">
        <v>148</v>
      </c>
    </row>
    <row r="55" customFormat="false" ht="15" hidden="false" customHeight="false" outlineLevel="0" collapsed="false">
      <c r="A55" s="2" t="s">
        <v>24</v>
      </c>
      <c r="B55" s="2" t="s">
        <v>30</v>
      </c>
      <c r="C55" s="11" t="n">
        <v>95</v>
      </c>
      <c r="D55" s="2" t="s">
        <v>163</v>
      </c>
      <c r="E55" s="11" t="n">
        <v>70</v>
      </c>
      <c r="F55" s="2" t="s">
        <v>148</v>
      </c>
    </row>
    <row r="56" customFormat="false" ht="15" hidden="false" customHeight="false" outlineLevel="0" collapsed="false">
      <c r="A56" s="2" t="s">
        <v>27</v>
      </c>
      <c r="B56" s="2" t="s">
        <v>30</v>
      </c>
      <c r="C56" s="11" t="n">
        <v>65</v>
      </c>
      <c r="D56" s="2" t="s">
        <v>164</v>
      </c>
      <c r="E56" s="11" t="n">
        <v>50</v>
      </c>
      <c r="F56" s="2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2026-10-09T06:20:19Z</dcterms:created>
  <dc:creator>openpyxl</dc:creator>
  <dc:description/>
  <dc:language>en-US</dc:language>
  <cp:lastModifiedBy/>
  <dcterms:modified xsi:type="dcterms:W3CDTF">2026-10-09T06:20:19Z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